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shik\Documents\GITHUB\ptbxl-ssl-objectives\kaggle notebooks\"/>
    </mc:Choice>
  </mc:AlternateContent>
  <xr:revisionPtr revIDLastSave="0" documentId="13_ncr:1_{78781312-E3DF-4C54-95C6-DB54412D011D}" xr6:coauthVersionLast="47" xr6:coauthVersionMax="47" xr10:uidLastSave="{00000000-0000-0000-0000-000000000000}"/>
  <bookViews>
    <workbookView xWindow="-98" yWindow="-98" windowWidth="21795" windowHeight="13695" xr2:uid="{F3BA4440-4B19-4A03-AF21-B6DEA26C06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1" l="1"/>
  <c r="P11" i="1"/>
  <c r="Q11" i="1"/>
  <c r="R11" i="1"/>
  <c r="N11" i="1"/>
  <c r="N14" i="1"/>
  <c r="O14" i="1"/>
  <c r="P14" i="1"/>
  <c r="Q14" i="1"/>
  <c r="R14" i="1"/>
  <c r="N15" i="1"/>
  <c r="O15" i="1"/>
  <c r="P15" i="1"/>
  <c r="Q15" i="1"/>
  <c r="R15" i="1"/>
  <c r="N16" i="1"/>
  <c r="O16" i="1"/>
  <c r="P16" i="1"/>
  <c r="Q16" i="1"/>
  <c r="R16" i="1"/>
  <c r="N17" i="1"/>
  <c r="O17" i="1"/>
  <c r="P17" i="1"/>
  <c r="Q17" i="1"/>
  <c r="R17" i="1"/>
  <c r="N18" i="1"/>
  <c r="O18" i="1"/>
  <c r="P18" i="1"/>
  <c r="Q18" i="1"/>
  <c r="R18" i="1"/>
  <c r="N19" i="1"/>
  <c r="O19" i="1"/>
  <c r="P19" i="1"/>
  <c r="Q19" i="1"/>
  <c r="R19" i="1"/>
  <c r="O13" i="1"/>
  <c r="P13" i="1"/>
  <c r="Q13" i="1"/>
  <c r="R13" i="1"/>
  <c r="N13" i="1"/>
  <c r="O12" i="1"/>
  <c r="P12" i="1"/>
  <c r="Q12" i="1"/>
  <c r="R12" i="1"/>
  <c r="N12" i="1"/>
</calcChain>
</file>

<file path=xl/sharedStrings.xml><?xml version="1.0" encoding="utf-8"?>
<sst xmlns="http://schemas.openxmlformats.org/spreadsheetml/2006/main" count="64" uniqueCount="13">
  <si>
    <t>Baseline</t>
  </si>
  <si>
    <t>Full</t>
  </si>
  <si>
    <t>Head</t>
  </si>
  <si>
    <t>Masking</t>
  </si>
  <si>
    <t>Denoising</t>
  </si>
  <si>
    <t>SimCLR</t>
  </si>
  <si>
    <t>BYOL</t>
  </si>
  <si>
    <t>Percentage of labels used for training</t>
  </si>
  <si>
    <t>Methods</t>
  </si>
  <si>
    <t>[seed 22]</t>
  </si>
  <si>
    <t>[seed 54]</t>
  </si>
  <si>
    <t>[seed 71]</t>
  </si>
  <si>
    <t>[mean +/- SD]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</si>
</sst>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0"/>
      <color theme="1"/>
      <name val="Aptos Narrow"/>
      <scheme val="minor"/>
    </font>
    <font>
      <b/>
      <i/>
      <sz val="10"/>
      <color theme="1"/>
      <name val="Aptos Narrow"/>
      <scheme val="minor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9" fontId="1" fillId="0" borderId="6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9" fontId="1" fillId="0" borderId="12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 textRotation="255"/>
    </xf>
    <xf numFmtId="0" fontId="2" fillId="2" borderId="19" xfId="0" applyFont="1" applyFill="1" applyBorder="1" applyAlignment="1">
      <alignment horizontal="center" vertical="center" textRotation="255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B2FC2-CB8B-412F-85A4-7FB574126CD9}">
  <dimension ref="B2:R39"/>
  <sheetViews>
    <sheetView tabSelected="1" zoomScaleNormal="100" workbookViewId="0">
      <selection activeCell="A3" sqref="A3"/>
    </sheetView>
  </sheetViews>
  <sheetFormatPr defaultRowHeight="13.5"/>
  <cols>
    <col min="1" max="1" width="9" style="1"/>
    <col min="2" max="2" width="3.5625" style="1" customWidth="1"/>
    <col min="3" max="3" width="10.5625" style="1" customWidth="1"/>
    <col min="4" max="4" width="7.5625" style="1" customWidth="1"/>
    <col min="5" max="10" width="9" style="1"/>
    <col min="11" max="11" width="3.5625" style="1" customWidth="1"/>
    <col min="12" max="12" width="10.5625" style="1" customWidth="1"/>
    <col min="13" max="13" width="7.5625" style="1" customWidth="1"/>
    <col min="14" max="18" width="10.5625" style="1" customWidth="1"/>
    <col min="19" max="16384" width="9" style="1"/>
  </cols>
  <sheetData>
    <row r="2" spans="2:18">
      <c r="B2" s="13"/>
      <c r="C2" s="23" t="s">
        <v>9</v>
      </c>
      <c r="D2" s="23"/>
      <c r="E2" s="23"/>
      <c r="F2" s="23"/>
      <c r="G2" s="23"/>
      <c r="H2" s="23"/>
      <c r="I2" s="24"/>
    </row>
    <row r="3" spans="2:18">
      <c r="B3" s="14"/>
      <c r="E3" s="25" t="s">
        <v>7</v>
      </c>
      <c r="F3" s="25"/>
      <c r="G3" s="25"/>
      <c r="H3" s="25"/>
      <c r="I3" s="26"/>
    </row>
    <row r="4" spans="2:18" ht="13.9" thickBot="1">
      <c r="B4" s="14"/>
      <c r="E4" s="12">
        <v>0.01</v>
      </c>
      <c r="F4" s="12">
        <v>0.05</v>
      </c>
      <c r="G4" s="12">
        <v>0.1</v>
      </c>
      <c r="H4" s="12">
        <v>0.25</v>
      </c>
      <c r="I4" s="15">
        <v>1</v>
      </c>
    </row>
    <row r="5" spans="2:18" ht="14.25" customHeight="1" thickTop="1" thickBot="1">
      <c r="B5" s="17" t="s">
        <v>8</v>
      </c>
      <c r="C5" s="19" t="s">
        <v>0</v>
      </c>
      <c r="D5" s="20"/>
      <c r="E5" s="10">
        <v>0.61799999999999999</v>
      </c>
      <c r="F5" s="11">
        <v>0.78</v>
      </c>
      <c r="G5" s="11">
        <v>0.81799999999999995</v>
      </c>
      <c r="H5" s="11">
        <v>0.83699999999999997</v>
      </c>
      <c r="I5" s="11">
        <v>0.92600000000000005</v>
      </c>
    </row>
    <row r="6" spans="2:18" ht="13.9" thickTop="1">
      <c r="B6" s="17"/>
      <c r="C6" s="21" t="s">
        <v>3</v>
      </c>
      <c r="D6" s="7" t="s">
        <v>1</v>
      </c>
      <c r="E6" s="8">
        <v>0.57799999999999996</v>
      </c>
      <c r="F6" s="9">
        <v>0.65600000000000003</v>
      </c>
      <c r="G6" s="9">
        <v>0.76100000000000001</v>
      </c>
      <c r="H6" s="9">
        <v>0.82599999999999996</v>
      </c>
      <c r="I6" s="9">
        <v>0.91400000000000003</v>
      </c>
    </row>
    <row r="7" spans="2:18" ht="13.9" thickBot="1">
      <c r="B7" s="17"/>
      <c r="C7" s="19"/>
      <c r="D7" s="4" t="s">
        <v>2</v>
      </c>
      <c r="E7" s="5">
        <v>0.67900000000000005</v>
      </c>
      <c r="F7" s="6">
        <v>0.78500000000000003</v>
      </c>
      <c r="G7" s="6">
        <v>0.80300000000000005</v>
      </c>
      <c r="H7" s="6">
        <v>0.84199999999999997</v>
      </c>
      <c r="I7" s="6">
        <v>0.88</v>
      </c>
    </row>
    <row r="8" spans="2:18" ht="13.9" thickTop="1">
      <c r="B8" s="17"/>
      <c r="C8" s="21" t="s">
        <v>4</v>
      </c>
      <c r="D8" s="7" t="s">
        <v>1</v>
      </c>
      <c r="E8" s="8">
        <v>0.55300000000000005</v>
      </c>
      <c r="F8" s="9">
        <v>0.69299999999999995</v>
      </c>
      <c r="G8" s="9">
        <v>0.76100000000000001</v>
      </c>
      <c r="H8" s="9">
        <v>0.81699999999999995</v>
      </c>
      <c r="I8" s="9">
        <v>0.90200000000000002</v>
      </c>
      <c r="K8" s="13"/>
      <c r="L8" s="23" t="s">
        <v>12</v>
      </c>
      <c r="M8" s="23"/>
      <c r="N8" s="23"/>
      <c r="O8" s="23"/>
      <c r="P8" s="23"/>
      <c r="Q8" s="23"/>
      <c r="R8" s="24"/>
    </row>
    <row r="9" spans="2:18" ht="13.9" thickBot="1">
      <c r="B9" s="17"/>
      <c r="C9" s="19"/>
      <c r="D9" s="4" t="s">
        <v>2</v>
      </c>
      <c r="E9" s="5">
        <v>0.69699999999999995</v>
      </c>
      <c r="F9" s="6">
        <v>0.78300000000000003</v>
      </c>
      <c r="G9" s="6">
        <v>0.80900000000000005</v>
      </c>
      <c r="H9" s="6">
        <v>0.85599999999999998</v>
      </c>
      <c r="I9" s="6">
        <v>0.88900000000000001</v>
      </c>
      <c r="K9" s="14"/>
      <c r="N9" s="25" t="s">
        <v>7</v>
      </c>
      <c r="O9" s="25"/>
      <c r="P9" s="25"/>
      <c r="Q9" s="25"/>
      <c r="R9" s="26"/>
    </row>
    <row r="10" spans="2:18" ht="14.25" thickTop="1" thickBot="1">
      <c r="B10" s="17"/>
      <c r="C10" s="21" t="s">
        <v>5</v>
      </c>
      <c r="D10" s="7" t="s">
        <v>1</v>
      </c>
      <c r="E10" s="8">
        <v>0.57699999999999996</v>
      </c>
      <c r="F10" s="9">
        <v>0.67500000000000004</v>
      </c>
      <c r="G10" s="9">
        <v>0.77900000000000003</v>
      </c>
      <c r="H10" s="9">
        <v>0.84399999999999997</v>
      </c>
      <c r="I10" s="9">
        <v>0.90200000000000002</v>
      </c>
      <c r="K10" s="14"/>
      <c r="N10" s="12">
        <v>0.01</v>
      </c>
      <c r="O10" s="12">
        <v>0.05</v>
      </c>
      <c r="P10" s="12">
        <v>0.1</v>
      </c>
      <c r="Q10" s="12">
        <v>0.25</v>
      </c>
      <c r="R10" s="15">
        <v>1</v>
      </c>
    </row>
    <row r="11" spans="2:18" ht="14.25" customHeight="1" thickTop="1" thickBot="1">
      <c r="B11" s="17"/>
      <c r="C11" s="19"/>
      <c r="D11" s="4" t="s">
        <v>2</v>
      </c>
      <c r="E11" s="5">
        <v>0.69099999999999995</v>
      </c>
      <c r="F11" s="6">
        <v>0.78200000000000003</v>
      </c>
      <c r="G11" s="6">
        <v>0.82499999999999996</v>
      </c>
      <c r="H11" s="6">
        <v>0.84599999999999997</v>
      </c>
      <c r="I11" s="6">
        <v>0.88</v>
      </c>
      <c r="K11" s="17" t="s">
        <v>8</v>
      </c>
      <c r="L11" s="19" t="s">
        <v>0</v>
      </c>
      <c r="M11" s="20"/>
      <c r="N11" s="30" t="str">
        <f>TEXT(AVERAGE(E5, E18, E31),"0.000")&amp;" ± "&amp;TEXT(STDEV(E5, E18, E31),"0.000")</f>
        <v>0.636 ± 0.019</v>
      </c>
      <c r="O11" s="30" t="str">
        <f t="shared" ref="O11:R11" si="0">TEXT(AVERAGE(F5, F18, F31),"0.000")&amp;" ± "&amp;TEXT(STDEV(F5, F18, F31),"0.000")</f>
        <v>0.794 ± 0.013</v>
      </c>
      <c r="P11" s="30" t="str">
        <f t="shared" si="0"/>
        <v>0.823 ± 0.005</v>
      </c>
      <c r="Q11" s="30" t="str">
        <f t="shared" si="0"/>
        <v>0.852 ± 0.015</v>
      </c>
      <c r="R11" s="30" t="str">
        <f t="shared" si="0"/>
        <v>0.927 ± 0.003</v>
      </c>
    </row>
    <row r="12" spans="2:18" ht="13.9" thickTop="1">
      <c r="B12" s="17"/>
      <c r="C12" s="21" t="s">
        <v>6</v>
      </c>
      <c r="D12" s="7" t="s">
        <v>1</v>
      </c>
      <c r="E12" s="8">
        <v>0.59799999999999998</v>
      </c>
      <c r="F12" s="9">
        <v>0.67500000000000004</v>
      </c>
      <c r="G12" s="9">
        <v>0.80700000000000005</v>
      </c>
      <c r="H12" s="9">
        <v>0.82199999999999995</v>
      </c>
      <c r="I12" s="9">
        <v>0.90800000000000003</v>
      </c>
      <c r="K12" s="17"/>
      <c r="L12" s="21" t="s">
        <v>3</v>
      </c>
      <c r="M12" s="7" t="s">
        <v>1</v>
      </c>
      <c r="N12" s="27" t="str">
        <f>TEXT(AVERAGE(E6, E19, E32),"0.000")&amp;" ± "&amp;TEXT(STDEV(E6, E19, E32),"0.000")</f>
        <v>0.591 ± 0.018</v>
      </c>
      <c r="O12" s="27" t="str">
        <f t="shared" ref="O12:R12" si="1">TEXT(AVERAGE(F6, F19, F32),"0.000")&amp;" ± "&amp;TEXT(STDEV(F6, F19, F32),"0.000")</f>
        <v>0.690 ± 0.040</v>
      </c>
      <c r="P12" s="27" t="str">
        <f t="shared" si="1"/>
        <v>0.780 ± 0.018</v>
      </c>
      <c r="Q12" s="27" t="str">
        <f t="shared" si="1"/>
        <v>0.824 ± 0.008</v>
      </c>
      <c r="R12" s="27" t="str">
        <f t="shared" si="1"/>
        <v>0.909 ± 0.004</v>
      </c>
    </row>
    <row r="13" spans="2:18" ht="13.9" thickBot="1">
      <c r="B13" s="18"/>
      <c r="C13" s="22"/>
      <c r="D13" s="16" t="s">
        <v>2</v>
      </c>
      <c r="E13" s="3">
        <v>0.77200000000000002</v>
      </c>
      <c r="F13" s="2">
        <v>0.82399999999999995</v>
      </c>
      <c r="G13" s="2">
        <v>0.83799999999999997</v>
      </c>
      <c r="H13" s="2">
        <v>0.84699999999999998</v>
      </c>
      <c r="I13" s="2">
        <v>0.88600000000000001</v>
      </c>
      <c r="K13" s="17"/>
      <c r="L13" s="19"/>
      <c r="M13" s="4" t="s">
        <v>2</v>
      </c>
      <c r="N13" s="28" t="str">
        <f>TEXT(AVERAGE(E7, E20, E33),"0.000")&amp;" ± "&amp;TEXT(STDEV(E7, E20, E33),"0.000")</f>
        <v>0.714 ± 0.030</v>
      </c>
      <c r="O13" s="28" t="str">
        <f t="shared" ref="O13:R14" si="2">TEXT(AVERAGE(F7, F20, F33),"0.000")&amp;" ± "&amp;TEXT(STDEV(F7, F20, F33),"0.000")</f>
        <v>0.798 ± 0.011</v>
      </c>
      <c r="P13" s="28" t="str">
        <f t="shared" si="2"/>
        <v>0.822 ± 0.018</v>
      </c>
      <c r="Q13" s="28" t="str">
        <f t="shared" si="2"/>
        <v>0.848 ± 0.005</v>
      </c>
      <c r="R13" s="28" t="str">
        <f t="shared" si="2"/>
        <v>0.879 ± 0.002</v>
      </c>
    </row>
    <row r="14" spans="2:18" ht="13.9" thickTop="1">
      <c r="K14" s="17"/>
      <c r="L14" s="21" t="s">
        <v>4</v>
      </c>
      <c r="M14" s="7" t="s">
        <v>1</v>
      </c>
      <c r="N14" s="27" t="str">
        <f t="shared" ref="N14:N19" si="3">TEXT(AVERAGE(E8, E21, E34),"0.000")&amp;" ± "&amp;TEXT(STDEV(E8, E21, E34),"0.000")</f>
        <v>0.577 ± 0.025</v>
      </c>
      <c r="O14" s="27" t="str">
        <f t="shared" si="2"/>
        <v>0.691 ± 0.016</v>
      </c>
      <c r="P14" s="27" t="str">
        <f t="shared" si="2"/>
        <v>0.763 ± 0.003</v>
      </c>
      <c r="Q14" s="27" t="str">
        <f t="shared" si="2"/>
        <v>0.825 ± 0.010</v>
      </c>
      <c r="R14" s="27" t="str">
        <f t="shared" si="2"/>
        <v>0.907 ± 0.004</v>
      </c>
    </row>
    <row r="15" spans="2:18" ht="13.9" thickBot="1">
      <c r="B15" s="13"/>
      <c r="C15" s="23" t="s">
        <v>10</v>
      </c>
      <c r="D15" s="23"/>
      <c r="E15" s="23"/>
      <c r="F15" s="23"/>
      <c r="G15" s="23"/>
      <c r="H15" s="23"/>
      <c r="I15" s="24"/>
      <c r="K15" s="17"/>
      <c r="L15" s="19"/>
      <c r="M15" s="4" t="s">
        <v>2</v>
      </c>
      <c r="N15" s="28" t="str">
        <f t="shared" si="3"/>
        <v>0.693 ± 0.020</v>
      </c>
      <c r="O15" s="28" t="str">
        <f t="shared" ref="O15:O19" si="4">TEXT(AVERAGE(F9, F22, F35),"0.000")&amp;" ± "&amp;TEXT(STDEV(F9, F22, F35),"0.000")</f>
        <v>0.791 ± 0.010</v>
      </c>
      <c r="P15" s="28" t="str">
        <f t="shared" ref="P15:P19" si="5">TEXT(AVERAGE(G9, G22, G35),"0.000")&amp;" ± "&amp;TEXT(STDEV(G9, G22, G35),"0.000")</f>
        <v>0.820 ± 0.010</v>
      </c>
      <c r="Q15" s="28" t="str">
        <f t="shared" ref="Q15:Q19" si="6">TEXT(AVERAGE(H9, H22, H35),"0.000")&amp;" ± "&amp;TEXT(STDEV(H9, H22, H35),"0.000")</f>
        <v>0.855 ± 0.008</v>
      </c>
      <c r="R15" s="28" t="str">
        <f t="shared" ref="R15:R19" si="7">TEXT(AVERAGE(I9, I22, I35),"0.000")&amp;" ± "&amp;TEXT(STDEV(I9, I22, I35),"0.000")</f>
        <v>0.883 ± 0.008</v>
      </c>
    </row>
    <row r="16" spans="2:18" ht="13.9" thickTop="1">
      <c r="B16" s="14"/>
      <c r="E16" s="25" t="s">
        <v>7</v>
      </c>
      <c r="F16" s="25"/>
      <c r="G16" s="25"/>
      <c r="H16" s="25"/>
      <c r="I16" s="26"/>
      <c r="K16" s="17"/>
      <c r="L16" s="21" t="s">
        <v>5</v>
      </c>
      <c r="M16" s="7" t="s">
        <v>1</v>
      </c>
      <c r="N16" s="27" t="str">
        <f t="shared" si="3"/>
        <v>0.601 ± 0.041</v>
      </c>
      <c r="O16" s="27" t="str">
        <f t="shared" si="4"/>
        <v>0.658 ± 0.018</v>
      </c>
      <c r="P16" s="27" t="str">
        <f t="shared" si="5"/>
        <v>0.781 ± 0.017</v>
      </c>
      <c r="Q16" s="27" t="str">
        <f t="shared" si="6"/>
        <v>0.834 ± 0.012</v>
      </c>
      <c r="R16" s="27" t="str">
        <f t="shared" si="7"/>
        <v>0.908 ± 0.005</v>
      </c>
    </row>
    <row r="17" spans="2:18" ht="13.9" thickBot="1">
      <c r="B17" s="14"/>
      <c r="E17" s="12">
        <v>0.01</v>
      </c>
      <c r="F17" s="12">
        <v>0.05</v>
      </c>
      <c r="G17" s="12">
        <v>0.1</v>
      </c>
      <c r="H17" s="12">
        <v>0.25</v>
      </c>
      <c r="I17" s="15">
        <v>1</v>
      </c>
      <c r="K17" s="17"/>
      <c r="L17" s="19"/>
      <c r="M17" s="4" t="s">
        <v>2</v>
      </c>
      <c r="N17" s="28" t="str">
        <f t="shared" si="3"/>
        <v>0.701 ± 0.009</v>
      </c>
      <c r="O17" s="28" t="str">
        <f t="shared" si="4"/>
        <v>0.806 ± 0.021</v>
      </c>
      <c r="P17" s="28" t="str">
        <f t="shared" si="5"/>
        <v>0.835 ± 0.010</v>
      </c>
      <c r="Q17" s="28" t="str">
        <f t="shared" si="6"/>
        <v>0.858 ± 0.010</v>
      </c>
      <c r="R17" s="28" t="str">
        <f t="shared" si="7"/>
        <v>0.882 ± 0.002</v>
      </c>
    </row>
    <row r="18" spans="2:18" ht="14.25" thickTop="1" thickBot="1">
      <c r="B18" s="17" t="s">
        <v>8</v>
      </c>
      <c r="C18" s="19" t="s">
        <v>0</v>
      </c>
      <c r="D18" s="20"/>
      <c r="E18" s="10">
        <v>0.65600000000000003</v>
      </c>
      <c r="F18" s="11">
        <v>0.80500000000000005</v>
      </c>
      <c r="G18" s="11">
        <v>0.82299999999999995</v>
      </c>
      <c r="H18" s="11">
        <v>0.85299999999999998</v>
      </c>
      <c r="I18" s="11">
        <v>0.92500000000000004</v>
      </c>
      <c r="K18" s="17"/>
      <c r="L18" s="21" t="s">
        <v>6</v>
      </c>
      <c r="M18" s="7" t="s">
        <v>1</v>
      </c>
      <c r="N18" s="27" t="str">
        <f t="shared" si="3"/>
        <v>0.602 ± 0.014</v>
      </c>
      <c r="O18" s="27" t="str">
        <f t="shared" si="4"/>
        <v>0.698 ± 0.021</v>
      </c>
      <c r="P18" s="27" t="str">
        <f t="shared" si="5"/>
        <v>0.774 ± 0.029</v>
      </c>
      <c r="Q18" s="27" t="str">
        <f t="shared" si="6"/>
        <v>0.826 ± 0.003</v>
      </c>
      <c r="R18" s="27" t="str">
        <f t="shared" si="7"/>
        <v>0.909 ± 0.005</v>
      </c>
    </row>
    <row r="19" spans="2:18" ht="13.9" thickTop="1">
      <c r="B19" s="17"/>
      <c r="C19" s="21" t="s">
        <v>3</v>
      </c>
      <c r="D19" s="7" t="s">
        <v>1</v>
      </c>
      <c r="E19" s="8">
        <v>0.61099999999999999</v>
      </c>
      <c r="F19" s="9">
        <v>0.68100000000000005</v>
      </c>
      <c r="G19" s="9">
        <v>0.78100000000000003</v>
      </c>
      <c r="H19" s="9">
        <v>0.81599999999999995</v>
      </c>
      <c r="I19" s="9">
        <v>0.90800000000000003</v>
      </c>
      <c r="K19" s="18"/>
      <c r="L19" s="22"/>
      <c r="M19" s="16" t="s">
        <v>2</v>
      </c>
      <c r="N19" s="29" t="str">
        <f t="shared" si="3"/>
        <v>0.771 ± 0.014</v>
      </c>
      <c r="O19" s="29" t="str">
        <f t="shared" si="4"/>
        <v>0.824 ± 0.010</v>
      </c>
      <c r="P19" s="29" t="str">
        <f t="shared" si="5"/>
        <v>0.838 ± 0.003</v>
      </c>
      <c r="Q19" s="29" t="str">
        <f t="shared" si="6"/>
        <v>0.858 ± 0.010</v>
      </c>
      <c r="R19" s="29" t="str">
        <f t="shared" si="7"/>
        <v>0.883 ± 0.007</v>
      </c>
    </row>
    <row r="20" spans="2:18" ht="13.9" thickBot="1">
      <c r="B20" s="17"/>
      <c r="C20" s="19"/>
      <c r="D20" s="4" t="s">
        <v>2</v>
      </c>
      <c r="E20" s="5">
        <v>0.73399999999999999</v>
      </c>
      <c r="F20" s="6">
        <v>0.80500000000000005</v>
      </c>
      <c r="G20" s="6">
        <v>0.83799999999999997</v>
      </c>
      <c r="H20" s="6">
        <v>0.85</v>
      </c>
      <c r="I20" s="6">
        <v>0.877</v>
      </c>
    </row>
    <row r="21" spans="2:18" ht="13.9" thickTop="1">
      <c r="B21" s="17"/>
      <c r="C21" s="21" t="s">
        <v>4</v>
      </c>
      <c r="D21" s="7" t="s">
        <v>1</v>
      </c>
      <c r="E21" s="8">
        <v>0.57699999999999996</v>
      </c>
      <c r="F21" s="9">
        <v>0.67400000000000004</v>
      </c>
      <c r="G21" s="9">
        <v>0.76600000000000001</v>
      </c>
      <c r="H21" s="9">
        <v>0.82199999999999995</v>
      </c>
      <c r="I21" s="9">
        <v>0.91</v>
      </c>
    </row>
    <row r="22" spans="2:18" ht="13.9" thickBot="1">
      <c r="B22" s="17"/>
      <c r="C22" s="19"/>
      <c r="D22" s="4" t="s">
        <v>2</v>
      </c>
      <c r="E22" s="5">
        <v>0.71</v>
      </c>
      <c r="F22" s="6">
        <v>0.80200000000000005</v>
      </c>
      <c r="G22" s="6">
        <v>0.82599999999999996</v>
      </c>
      <c r="H22" s="6">
        <v>0.84599999999999997</v>
      </c>
      <c r="I22" s="6">
        <v>0.874</v>
      </c>
    </row>
    <row r="23" spans="2:18" ht="13.9" thickTop="1">
      <c r="B23" s="17"/>
      <c r="C23" s="21" t="s">
        <v>5</v>
      </c>
      <c r="D23" s="7" t="s">
        <v>1</v>
      </c>
      <c r="E23" s="8">
        <v>0.64900000000000002</v>
      </c>
      <c r="F23" s="9">
        <v>0.63900000000000001</v>
      </c>
      <c r="G23" s="9">
        <v>0.79900000000000004</v>
      </c>
      <c r="H23" s="9">
        <v>0.82099999999999995</v>
      </c>
      <c r="I23" s="9">
        <v>0.91100000000000003</v>
      </c>
    </row>
    <row r="24" spans="2:18" ht="13.9" thickBot="1">
      <c r="B24" s="17"/>
      <c r="C24" s="19"/>
      <c r="D24" s="4" t="s">
        <v>2</v>
      </c>
      <c r="E24" s="5">
        <v>0.70199999999999996</v>
      </c>
      <c r="F24" s="6">
        <v>0.81799999999999995</v>
      </c>
      <c r="G24" s="6">
        <v>0.83499999999999996</v>
      </c>
      <c r="H24" s="6">
        <v>0.86199999999999999</v>
      </c>
      <c r="I24" s="6">
        <v>0.88300000000000001</v>
      </c>
    </row>
    <row r="25" spans="2:18" ht="13.9" thickTop="1">
      <c r="B25" s="17"/>
      <c r="C25" s="21" t="s">
        <v>6</v>
      </c>
      <c r="D25" s="7" t="s">
        <v>1</v>
      </c>
      <c r="E25" s="8">
        <v>0.61799999999999999</v>
      </c>
      <c r="F25" s="9">
        <v>0.71499999999999997</v>
      </c>
      <c r="G25" s="9">
        <v>0.76500000000000001</v>
      </c>
      <c r="H25" s="9">
        <v>0.82699999999999996</v>
      </c>
      <c r="I25" s="9">
        <v>0.91400000000000003</v>
      </c>
    </row>
    <row r="26" spans="2:18">
      <c r="B26" s="18"/>
      <c r="C26" s="22"/>
      <c r="D26" s="16" t="s">
        <v>2</v>
      </c>
      <c r="E26" s="3">
        <v>0.78400000000000003</v>
      </c>
      <c r="F26" s="2">
        <v>0.81399999999999995</v>
      </c>
      <c r="G26" s="2">
        <v>0.84099999999999997</v>
      </c>
      <c r="H26" s="2">
        <v>0.85899999999999999</v>
      </c>
      <c r="I26" s="2">
        <v>0.875</v>
      </c>
    </row>
    <row r="28" spans="2:18">
      <c r="B28" s="13"/>
      <c r="C28" s="23" t="s">
        <v>11</v>
      </c>
      <c r="D28" s="23"/>
      <c r="E28" s="23"/>
      <c r="F28" s="23"/>
      <c r="G28" s="23"/>
      <c r="H28" s="23"/>
      <c r="I28" s="24"/>
    </row>
    <row r="29" spans="2:18">
      <c r="B29" s="14"/>
      <c r="E29" s="25" t="s">
        <v>7</v>
      </c>
      <c r="F29" s="25"/>
      <c r="G29" s="25"/>
      <c r="H29" s="25"/>
      <c r="I29" s="26"/>
    </row>
    <row r="30" spans="2:18" ht="13.9" thickBot="1">
      <c r="B30" s="14"/>
      <c r="E30" s="12">
        <v>0.01</v>
      </c>
      <c r="F30" s="12">
        <v>0.05</v>
      </c>
      <c r="G30" s="12">
        <v>0.1</v>
      </c>
      <c r="H30" s="12">
        <v>0.25</v>
      </c>
      <c r="I30" s="15">
        <v>1</v>
      </c>
    </row>
    <row r="31" spans="2:18" ht="14.25" thickTop="1" thickBot="1">
      <c r="B31" s="17" t="s">
        <v>8</v>
      </c>
      <c r="C31" s="19" t="s">
        <v>0</v>
      </c>
      <c r="D31" s="20"/>
      <c r="E31" s="10">
        <v>0.63300000000000001</v>
      </c>
      <c r="F31" s="11">
        <v>0.79600000000000004</v>
      </c>
      <c r="G31" s="11">
        <v>0.82799999999999996</v>
      </c>
      <c r="H31" s="11">
        <v>0.86599999999999999</v>
      </c>
      <c r="I31" s="11">
        <v>0.93</v>
      </c>
    </row>
    <row r="32" spans="2:18" ht="13.9" thickTop="1">
      <c r="B32" s="17"/>
      <c r="C32" s="21" t="s">
        <v>3</v>
      </c>
      <c r="D32" s="7" t="s">
        <v>1</v>
      </c>
      <c r="E32" s="8">
        <v>0.58299999999999996</v>
      </c>
      <c r="F32" s="9">
        <v>0.73399999999999999</v>
      </c>
      <c r="G32" s="9">
        <v>0.79700000000000004</v>
      </c>
      <c r="H32" s="9">
        <v>0.83099999999999996</v>
      </c>
      <c r="I32" s="9">
        <v>0.90600000000000003</v>
      </c>
    </row>
    <row r="33" spans="2:9" ht="13.9" thickBot="1">
      <c r="B33" s="17"/>
      <c r="C33" s="19"/>
      <c r="D33" s="4" t="s">
        <v>2</v>
      </c>
      <c r="E33" s="5">
        <v>0.72899999999999998</v>
      </c>
      <c r="F33" s="6">
        <v>0.80300000000000005</v>
      </c>
      <c r="G33" s="6">
        <v>0.82599999999999996</v>
      </c>
      <c r="H33" s="6">
        <v>0.85099999999999998</v>
      </c>
      <c r="I33" s="6">
        <v>0.879</v>
      </c>
    </row>
    <row r="34" spans="2:9" ht="13.9" thickTop="1">
      <c r="B34" s="17"/>
      <c r="C34" s="21" t="s">
        <v>4</v>
      </c>
      <c r="D34" s="7" t="s">
        <v>1</v>
      </c>
      <c r="E34" s="8">
        <v>0.60199999999999998</v>
      </c>
      <c r="F34" s="9">
        <v>0.70599999999999996</v>
      </c>
      <c r="G34" s="9">
        <v>0.76100000000000001</v>
      </c>
      <c r="H34" s="9">
        <v>0.83599999999999997</v>
      </c>
      <c r="I34" s="9">
        <v>0.90900000000000003</v>
      </c>
    </row>
    <row r="35" spans="2:9" ht="13.9" thickBot="1">
      <c r="B35" s="17"/>
      <c r="C35" s="19"/>
      <c r="D35" s="4" t="s">
        <v>2</v>
      </c>
      <c r="E35" s="5">
        <v>0.67100000000000004</v>
      </c>
      <c r="F35" s="6">
        <v>0.78800000000000003</v>
      </c>
      <c r="G35" s="6">
        <v>0.82499999999999996</v>
      </c>
      <c r="H35" s="6">
        <v>0.86199999999999999</v>
      </c>
      <c r="I35" s="6">
        <v>0.88500000000000001</v>
      </c>
    </row>
    <row r="36" spans="2:9" ht="13.9" thickTop="1">
      <c r="B36" s="17"/>
      <c r="C36" s="21" t="s">
        <v>5</v>
      </c>
      <c r="D36" s="7" t="s">
        <v>1</v>
      </c>
      <c r="E36" s="8">
        <v>0.57799999999999996</v>
      </c>
      <c r="F36" s="9">
        <v>0.66100000000000003</v>
      </c>
      <c r="G36" s="9">
        <v>0.76600000000000001</v>
      </c>
      <c r="H36" s="9">
        <v>0.83599999999999997</v>
      </c>
      <c r="I36" s="9">
        <v>0.91100000000000003</v>
      </c>
    </row>
    <row r="37" spans="2:9" ht="13.9" thickBot="1">
      <c r="B37" s="17"/>
      <c r="C37" s="19"/>
      <c r="D37" s="4" t="s">
        <v>2</v>
      </c>
      <c r="E37" s="5">
        <v>0.70899999999999996</v>
      </c>
      <c r="F37" s="6">
        <v>0.81699999999999995</v>
      </c>
      <c r="G37" s="6">
        <v>0.84399999999999997</v>
      </c>
      <c r="H37" s="6">
        <v>0.86499999999999999</v>
      </c>
      <c r="I37" s="6">
        <v>0.88300000000000001</v>
      </c>
    </row>
    <row r="38" spans="2:9" ht="13.9" thickTop="1">
      <c r="B38" s="17"/>
      <c r="C38" s="21" t="s">
        <v>6</v>
      </c>
      <c r="D38" s="7" t="s">
        <v>1</v>
      </c>
      <c r="E38" s="8">
        <v>0.59</v>
      </c>
      <c r="F38" s="9">
        <v>0.70299999999999996</v>
      </c>
      <c r="G38" s="9">
        <v>0.751</v>
      </c>
      <c r="H38" s="9">
        <v>0.82799999999999996</v>
      </c>
      <c r="I38" s="9">
        <v>0.90500000000000003</v>
      </c>
    </row>
    <row r="39" spans="2:9">
      <c r="B39" s="18"/>
      <c r="C39" s="22"/>
      <c r="D39" s="16" t="s">
        <v>2</v>
      </c>
      <c r="E39" s="3">
        <v>0.75600000000000001</v>
      </c>
      <c r="F39" s="2">
        <v>0.83399999999999996</v>
      </c>
      <c r="G39" s="2">
        <v>0.83599999999999997</v>
      </c>
      <c r="H39" s="2">
        <v>0.86699999999999999</v>
      </c>
      <c r="I39" s="2">
        <v>0.88900000000000001</v>
      </c>
    </row>
  </sheetData>
  <mergeCells count="32">
    <mergeCell ref="E29:I29"/>
    <mergeCell ref="B31:B39"/>
    <mergeCell ref="C31:D31"/>
    <mergeCell ref="C32:C33"/>
    <mergeCell ref="C34:C35"/>
    <mergeCell ref="C36:C37"/>
    <mergeCell ref="C38:C39"/>
    <mergeCell ref="B5:B13"/>
    <mergeCell ref="E16:I16"/>
    <mergeCell ref="B18:B26"/>
    <mergeCell ref="C18:D18"/>
    <mergeCell ref="C19:C20"/>
    <mergeCell ref="C21:C22"/>
    <mergeCell ref="C23:C24"/>
    <mergeCell ref="C25:C26"/>
    <mergeCell ref="C5:D5"/>
    <mergeCell ref="C6:C7"/>
    <mergeCell ref="C8:C9"/>
    <mergeCell ref="C10:C11"/>
    <mergeCell ref="C12:C13"/>
    <mergeCell ref="L8:R8"/>
    <mergeCell ref="N9:R9"/>
    <mergeCell ref="C2:I2"/>
    <mergeCell ref="C15:I15"/>
    <mergeCell ref="C28:I28"/>
    <mergeCell ref="L12:L13"/>
    <mergeCell ref="E3:I3"/>
    <mergeCell ref="K11:K19"/>
    <mergeCell ref="L11:M11"/>
    <mergeCell ref="L14:L15"/>
    <mergeCell ref="L16:L17"/>
    <mergeCell ref="L18:L19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Deepshik</dc:creator>
  <cp:lastModifiedBy>Deepshik</cp:lastModifiedBy>
  <dcterms:created xsi:type="dcterms:W3CDTF">2026-06-26T18:39:56Z</dcterms:created>
  <dcterms:modified xsi:type="dcterms:W3CDTF">2026-07-31T04:29:09Z</dcterms:modified>
</cp:coreProperties>
</file>